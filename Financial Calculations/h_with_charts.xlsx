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mai\OneDrive\Desktop\"/>
    </mc:Choice>
  </mc:AlternateContent>
  <xr:revisionPtr revIDLastSave="0" documentId="13_ncr:1_{38B27CBD-8ABC-4FEC-B36B-ABFB6587B53E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inancial Data" sheetId="1" r:id="rId1"/>
    <sheet name="Ratio Analysis" sheetId="2" r:id="rId2"/>
    <sheet name="Charts " sheetId="3" r:id="rId3"/>
  </sheets>
  <calcPr calcId="191029"/>
</workbook>
</file>

<file path=xl/calcChain.xml><?xml version="1.0" encoding="utf-8"?>
<calcChain xmlns="http://schemas.openxmlformats.org/spreadsheetml/2006/main">
  <c r="F11" i="2" l="1"/>
  <c r="D11" i="2"/>
  <c r="F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D4" i="2"/>
  <c r="F3" i="2"/>
  <c r="G3" i="2" s="1"/>
  <c r="E3" i="2"/>
  <c r="D3" i="2"/>
  <c r="G2" i="2"/>
  <c r="F2" i="2"/>
  <c r="E2" i="2"/>
  <c r="D2" i="2"/>
</calcChain>
</file>

<file path=xl/sharedStrings.xml><?xml version="1.0" encoding="utf-8"?>
<sst xmlns="http://schemas.openxmlformats.org/spreadsheetml/2006/main" count="43" uniqueCount="43">
  <si>
    <t>Item</t>
  </si>
  <si>
    <t xml:space="preserve">Current Assets </t>
  </si>
  <si>
    <t xml:space="preserve">Current Liabilities </t>
  </si>
  <si>
    <t xml:space="preserve">Total Assets </t>
  </si>
  <si>
    <t xml:space="preserve">Total Liabilities </t>
  </si>
  <si>
    <t>Total Equity</t>
  </si>
  <si>
    <t xml:space="preserve">Revenue </t>
  </si>
  <si>
    <t>Cost of Goods sold</t>
  </si>
  <si>
    <t>Net income</t>
  </si>
  <si>
    <t>inventroy</t>
  </si>
  <si>
    <t xml:space="preserve">Acount Receivable </t>
  </si>
  <si>
    <t>Shares outstanding</t>
  </si>
  <si>
    <t xml:space="preserve">Market Price per share </t>
  </si>
  <si>
    <t>Category</t>
  </si>
  <si>
    <t>Ratio</t>
  </si>
  <si>
    <t>Formula</t>
  </si>
  <si>
    <t xml:space="preserve">     In percent %</t>
  </si>
  <si>
    <t xml:space="preserve">        In Percent </t>
  </si>
  <si>
    <t>Liquidity Ratio</t>
  </si>
  <si>
    <t>Current Ration</t>
  </si>
  <si>
    <t>Current Assets / Current Liabilities</t>
  </si>
  <si>
    <t>Quick Ratio</t>
  </si>
  <si>
    <t>(Current Assets - Inventory) / Current Liabilities</t>
  </si>
  <si>
    <t>Leverage Ratio</t>
  </si>
  <si>
    <t>Debt-to-Equity</t>
  </si>
  <si>
    <t>Total Liabilities / Total Equity</t>
  </si>
  <si>
    <t>Debt Ratio</t>
  </si>
  <si>
    <t>Total Liabilities / Total Assets</t>
  </si>
  <si>
    <t>Efficiency Ratios</t>
  </si>
  <si>
    <t>Asset Turnover</t>
  </si>
  <si>
    <t>Revenue / Total Assets</t>
  </si>
  <si>
    <t>Receivables Turnover</t>
  </si>
  <si>
    <t>Revenue / Accounts Receivable</t>
  </si>
  <si>
    <t>Profitability Ratios</t>
  </si>
  <si>
    <t>Net Profit Margin</t>
  </si>
  <si>
    <t>Net Income / Revenue</t>
  </si>
  <si>
    <t>Return on Equity (ROE)</t>
  </si>
  <si>
    <t>Net Income / Total Equity</t>
  </si>
  <si>
    <t>Market Value Ratios</t>
  </si>
  <si>
    <t>Earnings Per Share (EPS)</t>
  </si>
  <si>
    <t>Net Income / Shares Outstanding</t>
  </si>
  <si>
    <t>Price-to-Earnings (P/E)</t>
  </si>
  <si>
    <t>Market Price per Share /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</si>
</sst>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7">
    <xf numFmtId="0" fontId="0" fillId="0" borderId="0" xfId="0"/>
    <xf numFmtId="6" fontId="0" fillId="0" borderId="0" xfId="0" applyNumberFormat="1"/>
    <xf numFmtId="3" fontId="0" fillId="0" borderId="0" xfId="0" applyNumberFormat="1"/>
    <xf numFmtId="9" fontId="0" fillId="0" borderId="0" xfId="2" applyFont="1"/>
    <xf numFmtId="6" fontId="0" fillId="0" borderId="0" xfId="1" applyNumberFormat="1" applyFont="1"/>
    <xf numFmtId="10" fontId="0" fillId="0" borderId="0" xfId="0" applyNumberFormat="1"/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Financial Ratios – 2024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'Ratio Analysis'!$B$2:$B$11</c:f>
              <c:strCache>
                <c:ptCount val="10"/>
                <c:pt idx="0">
                  <c:v>Current Ration</c:v>
                </c:pt>
                <c:pt idx="1">
                  <c:v>Quick Ratio</c:v>
                </c:pt>
                <c:pt idx="2">
                  <c:v>Debt-to-Equity</c:v>
                </c:pt>
                <c:pt idx="3">
                  <c:v>Debt Ratio</c:v>
                </c:pt>
                <c:pt idx="4">
                  <c:v>Asset Turnover</c:v>
                </c:pt>
                <c:pt idx="5">
                  <c:v>Receivables Turnover</c:v>
                </c:pt>
                <c:pt idx="6">
                  <c:v>Net Profit Margin</c:v>
                </c:pt>
                <c:pt idx="7">
                  <c:v>Return on Equity (ROE)</c:v>
                </c:pt>
                <c:pt idx="8">
                  <c:v>Earnings Per Share (EPS)</c:v>
                </c:pt>
                <c:pt idx="9">
                  <c:v>Price-to-Earnings (P/E)</c:v>
                </c:pt>
              </c:strCache>
            </c:strRef>
          </c:cat>
          <c:val>
            <c:numRef>
              <c:f>'Ratio Analysis'!$D$2:$D$11</c:f>
              <c:numCache>
                <c:formatCode>General</c:formatCode>
                <c:ptCount val="10"/>
                <c:pt idx="0">
                  <c:v>1.2749549031815206</c:v>
                </c:pt>
                <c:pt idx="1">
                  <c:v>1.2647063518669284</c:v>
                </c:pt>
                <c:pt idx="2">
                  <c:v>0.90766061897294736</c:v>
                </c:pt>
                <c:pt idx="3">
                  <c:v>0.47579774407756903</c:v>
                </c:pt>
                <c:pt idx="4">
                  <c:v>0.47860153896318164</c:v>
                </c:pt>
                <c:pt idx="5">
                  <c:v>34.08733138645529</c:v>
                </c:pt>
                <c:pt idx="6">
                  <c:v>0.35955972944084985</c:v>
                </c:pt>
                <c:pt idx="7">
                  <c:v>0.32828137978299815</c:v>
                </c:pt>
                <c:pt idx="8" formatCode="&quot;$&quot;#,##0_);[Red]\(&quot;$&quot;#,##0\)">
                  <c:v>11801.821103374397</c:v>
                </c:pt>
                <c:pt idx="9">
                  <c:v>56.132833422603106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4-4E98-9B4D-D3C03E56C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Financial Ratios – 2025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'Ratio Analysis'!$B$2:$B$11</c:f>
              <c:strCache>
                <c:ptCount val="10"/>
                <c:pt idx="0">
                  <c:v>Current Ration</c:v>
                </c:pt>
                <c:pt idx="1">
                  <c:v>Quick Ratio</c:v>
                </c:pt>
                <c:pt idx="2">
                  <c:v>Debt-to-Equity</c:v>
                </c:pt>
                <c:pt idx="3">
                  <c:v>Debt Ratio</c:v>
                </c:pt>
                <c:pt idx="4">
                  <c:v>Asset Turnover</c:v>
                </c:pt>
                <c:pt idx="5">
                  <c:v>Receivables Turnover</c:v>
                </c:pt>
                <c:pt idx="6">
                  <c:v>Net Profit Margin</c:v>
                </c:pt>
                <c:pt idx="7">
                  <c:v>Return on Equity (ROE)</c:v>
                </c:pt>
                <c:pt idx="8">
                  <c:v>Earnings Per Share (EPS)</c:v>
                </c:pt>
                <c:pt idx="9">
                  <c:v>Price-to-Earnings (P/E)</c:v>
                </c:pt>
              </c:strCache>
            </c:strRef>
          </c:cat>
          <c:val>
            <c:numRef>
              <c:f>'Ratio Analysis'!$F$2:$F$11</c:f>
              <c:numCache>
                <c:formatCode>"$"#,##0_);[Red]\("$"#,##0\)</c:formatCode>
                <c:ptCount val="10"/>
                <c:pt idx="0" formatCode="General">
                  <c:v>1.3534464445042416</c:v>
                </c:pt>
                <c:pt idx="1">
                  <c:v>1.3512583381721877</c:v>
                </c:pt>
                <c:pt idx="2" formatCode="General">
                  <c:v>0.80215675485255289</c:v>
                </c:pt>
                <c:pt idx="3" formatCode="General">
                  <c:v>0.44510931287893596</c:v>
                </c:pt>
                <c:pt idx="4" formatCode="General">
                  <c:v>0.45512541942446161</c:v>
                </c:pt>
                <c:pt idx="5" formatCode="General">
                  <c:v>26.625460731499857</c:v>
                </c:pt>
                <c:pt idx="6" formatCode="General">
                  <c:v>0.36146015248967073</c:v>
                </c:pt>
                <c:pt idx="7" formatCode="General">
                  <c:v>0.29647227341409521</c:v>
                </c:pt>
                <c:pt idx="8" formatCode="General">
                  <c:v>13641.25920964501</c:v>
                </c:pt>
                <c:pt idx="9" formatCode="General">
                  <c:v>66.553248492967185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F-4761-AEC6-4C8FB4FAC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254000</xdr:colOff>
      <xdr:row>1</xdr:row>
      <xdr:rowOff>177800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262926-15A1-4752-B093-B7493F14F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457200</xdr:colOff>
      <xdr:row>1</xdr:row>
      <xdr:rowOff>158750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BC1AA9-915B-473F-BC2D-95D0ABF4B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C13" sqref="C13"/>
    </sheetView>
  </sheetViews>
  <sheetFormatPr defaultRowHeight="14.5" x14ac:dyDescent="0.35"/>
  <cols>
    <col min="1" max="1" width="16.7265625" customWidth="1"/>
    <col min="2" max="2" width="13.7265625" customWidth="1"/>
    <col min="3" max="3" width="13.453125" customWidth="1"/>
  </cols>
  <sheetData>
    <row r="1" spans="1:3" x14ac:dyDescent="0.35">
      <c r="A1" t="s">
        <v>0</v>
      </c>
      <c r="B1">
        <v>2024</v>
      </c>
      <c r="C1">
        <v>2025</v>
      </c>
    </row>
    <row r="2" spans="1:3" x14ac:dyDescent="0.35">
      <c r="A2" t="s">
        <v>1</v>
      </c>
      <c r="B2" s="1">
        <v>159734</v>
      </c>
      <c r="C2" s="2">
        <v>191131</v>
      </c>
    </row>
    <row r="3" spans="1:3" x14ac:dyDescent="0.35">
      <c r="A3" t="s">
        <v>2</v>
      </c>
      <c r="B3" s="1">
        <v>125286</v>
      </c>
      <c r="C3" s="2">
        <v>141218</v>
      </c>
    </row>
    <row r="4" spans="1:3" x14ac:dyDescent="0.35">
      <c r="A4" t="s">
        <v>3</v>
      </c>
      <c r="B4" s="1">
        <v>512163</v>
      </c>
      <c r="C4" s="2">
        <v>619003</v>
      </c>
    </row>
    <row r="5" spans="1:3" x14ac:dyDescent="0.35">
      <c r="A5" t="s">
        <v>4</v>
      </c>
      <c r="B5" s="1">
        <v>243686</v>
      </c>
      <c r="C5" s="2">
        <v>275524</v>
      </c>
    </row>
    <row r="6" spans="1:3" x14ac:dyDescent="0.35">
      <c r="A6" t="s">
        <v>5</v>
      </c>
      <c r="B6" s="1">
        <v>268477</v>
      </c>
      <c r="C6" s="2">
        <v>343479</v>
      </c>
    </row>
    <row r="7" spans="1:3" x14ac:dyDescent="0.35">
      <c r="A7" t="s">
        <v>6</v>
      </c>
      <c r="B7" s="1">
        <v>245122</v>
      </c>
      <c r="C7" s="2">
        <v>281724</v>
      </c>
    </row>
    <row r="8" spans="1:3" x14ac:dyDescent="0.35">
      <c r="A8" t="s">
        <v>7</v>
      </c>
      <c r="B8" s="1">
        <v>74144</v>
      </c>
      <c r="C8" s="2">
        <v>87831</v>
      </c>
    </row>
    <row r="9" spans="1:3" x14ac:dyDescent="0.35">
      <c r="A9" t="s">
        <v>8</v>
      </c>
      <c r="B9" s="1">
        <v>88136</v>
      </c>
      <c r="C9" s="2">
        <v>101832</v>
      </c>
    </row>
    <row r="10" spans="1:3" x14ac:dyDescent="0.35">
      <c r="A10" t="s">
        <v>9</v>
      </c>
      <c r="B10" s="1">
        <v>1284</v>
      </c>
      <c r="C10">
        <v>309</v>
      </c>
    </row>
    <row r="11" spans="1:3" x14ac:dyDescent="0.35">
      <c r="A11" t="s">
        <v>10</v>
      </c>
      <c r="B11" s="1">
        <v>7191</v>
      </c>
      <c r="C11" s="2">
        <v>10581</v>
      </c>
    </row>
    <row r="12" spans="1:3" x14ac:dyDescent="0.35">
      <c r="A12" t="s">
        <v>11</v>
      </c>
      <c r="B12">
        <v>7.468</v>
      </c>
      <c r="C12">
        <v>7.4649999999999999</v>
      </c>
    </row>
    <row r="13" spans="1:3" x14ac:dyDescent="0.35">
      <c r="A13" t="s">
        <v>12</v>
      </c>
      <c r="B13">
        <v>419.2</v>
      </c>
      <c r="C13">
        <v>496.82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topLeftCell="A4" workbookViewId="0">
      <selection activeCell="D12" sqref="D12"/>
    </sheetView>
  </sheetViews>
  <sheetFormatPr defaultRowHeight="14.5" x14ac:dyDescent="0.35"/>
  <cols>
    <col min="1" max="1" width="18.453125" customWidth="1"/>
    <col min="2" max="2" width="22.81640625" customWidth="1"/>
    <col min="3" max="3" width="40" customWidth="1"/>
    <col min="4" max="4" width="14.81640625" customWidth="1"/>
    <col min="5" max="5" width="14.26953125" customWidth="1"/>
    <col min="6" max="6" width="18.54296875" customWidth="1"/>
    <col min="7" max="7" width="16.1796875" customWidth="1"/>
  </cols>
  <sheetData>
    <row r="1" spans="1:7" x14ac:dyDescent="0.35">
      <c r="A1" t="s">
        <v>13</v>
      </c>
      <c r="B1" t="s">
        <v>14</v>
      </c>
      <c r="C1" t="s">
        <v>15</v>
      </c>
      <c r="D1">
        <v>2024</v>
      </c>
      <c r="E1" t="s">
        <v>16</v>
      </c>
      <c r="F1">
        <v>2025</v>
      </c>
      <c r="G1" t="s">
        <v>17</v>
      </c>
    </row>
    <row r="2" spans="1:7" x14ac:dyDescent="0.35">
      <c r="A2" t="s">
        <v>18</v>
      </c>
      <c r="B2" t="s">
        <v>19</v>
      </c>
      <c r="C2" t="s">
        <v>20</v>
      </c>
      <c r="D2">
        <f>'Financial Data'!B2/'Financial Data'!B3</f>
        <v>1.2749549031815206</v>
      </c>
      <c r="E2" s="3">
        <f>'Financial Data'!C2/'Financial Data'!C3</f>
        <v>1.3534464445042416</v>
      </c>
      <c r="F2">
        <f>'Financial Data'!C2/'Financial Data'!C3</f>
        <v>1.3534464445042416</v>
      </c>
      <c r="G2" s="3">
        <f t="shared" ref="G2:G9" si="0">F2</f>
        <v>1.3534464445042416</v>
      </c>
    </row>
    <row r="3" spans="1:7" x14ac:dyDescent="0.35">
      <c r="B3" t="s">
        <v>21</v>
      </c>
      <c r="C3" t="s">
        <v>22</v>
      </c>
      <c r="D3">
        <f>('Financial Data'!B2-'Financial Data'!B10)/'Financial Data'!B3</f>
        <v>1.2647063518669284</v>
      </c>
      <c r="E3" s="3">
        <f>('Financial Data'!C2-'Financial Data'!C10)/'Financial Data'!C3</f>
        <v>1.3512583381721877</v>
      </c>
      <c r="F3" s="1">
        <f>('Financial Data'!C2-'Financial Data'!C10)/'Financial Data'!C3</f>
        <v>1.3512583381721877</v>
      </c>
      <c r="G3" s="4">
        <f t="shared" si="0"/>
        <v>1.3512583381721877</v>
      </c>
    </row>
    <row r="4" spans="1:7" x14ac:dyDescent="0.35">
      <c r="A4" t="s">
        <v>23</v>
      </c>
      <c r="B4" t="s">
        <v>24</v>
      </c>
      <c r="C4" t="s">
        <v>25</v>
      </c>
      <c r="D4">
        <f>'Financial Data'!B5/'Financial Data'!B6</f>
        <v>0.90766061897294736</v>
      </c>
      <c r="E4" s="3">
        <f>'Financial Data'!C5/'Financial Data'!C6</f>
        <v>0.80215675485255289</v>
      </c>
      <c r="F4">
        <f>'Financial Data'!C5/'Financial Data'!C6</f>
        <v>0.80215675485255289</v>
      </c>
      <c r="G4" s="3">
        <f t="shared" si="0"/>
        <v>0.80215675485255289</v>
      </c>
    </row>
    <row r="5" spans="1:7" x14ac:dyDescent="0.35">
      <c r="B5" t="s">
        <v>26</v>
      </c>
      <c r="C5" t="s">
        <v>27</v>
      </c>
      <c r="D5">
        <f>'Financial Data'!B5/'Financial Data'!B4</f>
        <v>0.47579774407756903</v>
      </c>
      <c r="E5" s="3">
        <f>'Financial Data'!C5/'Financial Data'!C4</f>
        <v>0.44510931287893596</v>
      </c>
      <c r="F5">
        <f>'Financial Data'!C5/'Financial Data'!C4</f>
        <v>0.44510931287893596</v>
      </c>
      <c r="G5" s="3">
        <f t="shared" si="0"/>
        <v>0.44510931287893596</v>
      </c>
    </row>
    <row r="6" spans="1:7" x14ac:dyDescent="0.35">
      <c r="A6" t="s">
        <v>28</v>
      </c>
      <c r="B6" t="s">
        <v>29</v>
      </c>
      <c r="C6" t="s">
        <v>30</v>
      </c>
      <c r="D6">
        <f>'Financial Data'!B7/'Financial Data'!B4</f>
        <v>0.47860153896318164</v>
      </c>
      <c r="E6" s="3">
        <f>'Financial Data'!C7/'Financial Data'!C4</f>
        <v>0.45512541942446161</v>
      </c>
      <c r="F6">
        <f>'Financial Data'!C7/'Financial Data'!C4</f>
        <v>0.45512541942446161</v>
      </c>
      <c r="G6" s="3">
        <f t="shared" si="0"/>
        <v>0.45512541942446161</v>
      </c>
    </row>
    <row r="7" spans="1:7" x14ac:dyDescent="0.35">
      <c r="B7" t="s">
        <v>31</v>
      </c>
      <c r="C7" t="s">
        <v>32</v>
      </c>
      <c r="D7">
        <f>'Financial Data'!B7/'Financial Data'!B11</f>
        <v>34.08733138645529</v>
      </c>
      <c r="E7" s="3">
        <f>'Financial Data'!C7/'Financial Data'!C11</f>
        <v>26.625460731499857</v>
      </c>
      <c r="F7">
        <f>'Financial Data'!C7/'Financial Data'!C11</f>
        <v>26.625460731499857</v>
      </c>
      <c r="G7" s="3">
        <f t="shared" si="0"/>
        <v>26.625460731499857</v>
      </c>
    </row>
    <row r="8" spans="1:7" x14ac:dyDescent="0.35">
      <c r="A8" t="s">
        <v>33</v>
      </c>
      <c r="B8" t="s">
        <v>34</v>
      </c>
      <c r="C8" t="s">
        <v>35</v>
      </c>
      <c r="D8">
        <f>'Financial Data'!B9/'Financial Data'!B7</f>
        <v>0.35955972944084985</v>
      </c>
      <c r="E8" s="3">
        <f>'Financial Data'!C9/'Financial Data'!C7</f>
        <v>0.36146015248967073</v>
      </c>
      <c r="F8">
        <f>'Financial Data'!C9/'Financial Data'!C7</f>
        <v>0.36146015248967073</v>
      </c>
      <c r="G8" s="3">
        <f t="shared" si="0"/>
        <v>0.36146015248967073</v>
      </c>
    </row>
    <row r="9" spans="1:7" x14ac:dyDescent="0.35">
      <c r="B9" t="s">
        <v>36</v>
      </c>
      <c r="C9" t="s">
        <v>37</v>
      </c>
      <c r="D9">
        <f>'Financial Data'!B9/'Financial Data'!B6</f>
        <v>0.32828137978299815</v>
      </c>
      <c r="E9" s="3">
        <f>'Financial Data'!C9/'Financial Data'!C6</f>
        <v>0.29647227341409521</v>
      </c>
      <c r="F9">
        <f>'Financial Data'!C9/'Financial Data'!C6</f>
        <v>0.29647227341409521</v>
      </c>
      <c r="G9" s="3">
        <f t="shared" si="0"/>
        <v>0.29647227341409521</v>
      </c>
    </row>
    <row r="10" spans="1:7" x14ac:dyDescent="0.35">
      <c r="A10" t="s">
        <v>38</v>
      </c>
      <c r="B10" t="s">
        <v>39</v>
      </c>
      <c r="C10" t="s">
        <v>40</v>
      </c>
      <c r="D10" s="1">
        <f>'Financial Data'!B9/'Financial Data'!B12</f>
        <v>11801.821103374397</v>
      </c>
      <c r="E10" s="5">
        <v>0.11799999999999999</v>
      </c>
      <c r="F10">
        <f>'Financial Data'!C9/'Financial Data'!C12</f>
        <v>13641.25920964501</v>
      </c>
      <c r="G10" s="6">
        <v>13.44</v>
      </c>
    </row>
    <row r="11" spans="1:7" x14ac:dyDescent="0.35">
      <c r="B11" t="s">
        <v>41</v>
      </c>
      <c r="C11" t="s">
        <v>42</v>
      </c>
      <c r="D11">
        <f>'Financial Data'!B13/'Financial Data'!B12</f>
        <v>56.132833422603106</v>
      </c>
      <c r="E11" s="6">
        <v>56.13</v>
      </c>
      <c r="F11">
        <f>'Financial Data'!C13/'Financial Data'!C12</f>
        <v>66.553248492967185</v>
      </c>
      <c r="G11" s="6">
        <v>66.55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B1" workbookViewId="0">
      <selection activeCell="Q3" sqref="Q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Data</vt:lpstr>
      <vt:lpstr>Ratio Analysis</vt:lpstr>
      <vt:lpstr>Charts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Homaira Yousufi</dc:creator>
  <cp:lastModifiedBy>Homaira Yousufi</cp:lastModifiedBy>
  <dcterms:created xsi:type="dcterms:W3CDTF">2025-11-09T13:17:03Z</dcterms:created>
  <dcterms:modified xsi:type="dcterms:W3CDTF">2025-11-12T12:21:37Z</dcterms:modified>
</cp:coreProperties>
</file>