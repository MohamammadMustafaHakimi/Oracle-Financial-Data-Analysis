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ustafaPC\Downloads\Oracle\"/>
    </mc:Choice>
  </mc:AlternateContent>
  <bookViews>
    <workbookView xWindow="0" yWindow="0" windowWidth="28740" windowHeight="12150" activeTab="1"/>
  </bookViews>
  <sheets>
    <sheet name="Financial Data" sheetId="1" r:id="rId1"/>
    <sheet name="Ratio Analys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C7" i="1"/>
  <c r="B7" i="1"/>
</calcChain>
</file>

<file path=xl/sharedStrings.xml><?xml version="1.0" encoding="utf-8"?>
<sst xmlns="http://schemas.openxmlformats.org/spreadsheetml/2006/main" count="26" uniqueCount="26">
  <si>
    <t>Item</t>
  </si>
  <si>
    <t>Current Assets</t>
  </si>
  <si>
    <t>Current Liablities</t>
  </si>
  <si>
    <t>Total Assets</t>
  </si>
  <si>
    <t>Total Liabilities</t>
  </si>
  <si>
    <t>Total Equity</t>
  </si>
  <si>
    <t>Revenue</t>
  </si>
  <si>
    <t>Cost of Goods Sold</t>
  </si>
  <si>
    <t>Net Income</t>
  </si>
  <si>
    <t>Inventory</t>
  </si>
  <si>
    <t>Accounts Receivable</t>
  </si>
  <si>
    <t>Shares Outstanding</t>
  </si>
  <si>
    <t>Market Price Per Share</t>
  </si>
  <si>
    <t>2,755,860,000</t>
  </si>
  <si>
    <t>2,808,833,000</t>
  </si>
  <si>
    <t>Current Liabilities</t>
  </si>
  <si>
    <t>Non-Current Liablities</t>
  </si>
  <si>
    <t>Formula</t>
  </si>
  <si>
    <t>Name</t>
  </si>
  <si>
    <t>Type</t>
  </si>
  <si>
    <t>Liquidy</t>
  </si>
  <si>
    <t>Quick Acidity Ratio</t>
  </si>
  <si>
    <t>Current Ratio</t>
  </si>
  <si>
    <t>Current Assets / Current Liablities</t>
  </si>
  <si>
    <t>Result for 2025</t>
  </si>
  <si>
    <t>Result for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</si>
</sst>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5"/>
  <sheetViews>
    <sheetView workbookViewId="0">
      <selection activeCell="C9" sqref="C9"/>
    </sheetView>
  </sheetViews>
  <sheetFormatPr defaultRowHeight="15" x14ac:dyDescent="0.25"/>
  <cols>
    <col min="1" max="1" width="23.7109375" bestFit="1" customWidth="1"/>
    <col min="2" max="3" width="12.7109375" bestFit="1" customWidth="1"/>
  </cols>
  <sheetData>
    <row r="1" spans="1:3" x14ac:dyDescent="0.25">
      <c r="A1" t="s">
        <v>0</v>
      </c>
      <c r="B1">
        <v>2025</v>
      </c>
      <c r="C1">
        <v>2024</v>
      </c>
    </row>
    <row r="2" spans="1:3" x14ac:dyDescent="0.25">
      <c r="A2" t="s">
        <v>1</v>
      </c>
      <c r="B2">
        <v>24579</v>
      </c>
      <c r="C2">
        <v>22554</v>
      </c>
    </row>
    <row r="3" spans="1:3" x14ac:dyDescent="0.25">
      <c r="A3" t="s">
        <v>2</v>
      </c>
      <c r="B3">
        <v>31554</v>
      </c>
      <c r="C3">
        <v>32643</v>
      </c>
    </row>
    <row r="4" spans="1:3" x14ac:dyDescent="0.25">
      <c r="A4" t="s">
        <v>3</v>
      </c>
      <c r="B4">
        <v>168361</v>
      </c>
      <c r="C4">
        <v>140976</v>
      </c>
    </row>
    <row r="5" spans="1:3" x14ac:dyDescent="0.25">
      <c r="A5" t="s">
        <v>16</v>
      </c>
      <c r="B5">
        <v>114749</v>
      </c>
      <c r="C5">
        <v>100193</v>
      </c>
    </row>
    <row r="6" spans="1:3" x14ac:dyDescent="0.25">
      <c r="A6" t="s">
        <v>15</v>
      </c>
      <c r="B6">
        <v>31544</v>
      </c>
      <c r="C6">
        <v>32643</v>
      </c>
    </row>
    <row r="7" spans="1:3" x14ac:dyDescent="0.25">
      <c r="A7" t="s">
        <v>4</v>
      </c>
      <c r="B7">
        <f>B5+B6</f>
        <v>146293</v>
      </c>
      <c r="C7">
        <f>C5+C6</f>
        <v>132836</v>
      </c>
    </row>
    <row r="8" spans="1:3" x14ac:dyDescent="0.25">
      <c r="A8" t="s">
        <v>5</v>
      </c>
      <c r="B8">
        <v>20969</v>
      </c>
      <c r="C8">
        <v>9239</v>
      </c>
    </row>
    <row r="9" spans="1:3" x14ac:dyDescent="0.25">
      <c r="A9" t="s">
        <v>6</v>
      </c>
      <c r="B9">
        <v>57399</v>
      </c>
      <c r="C9">
        <v>52961</v>
      </c>
    </row>
    <row r="10" spans="1:3" x14ac:dyDescent="0.25">
      <c r="A10" t="s">
        <v>7</v>
      </c>
    </row>
    <row r="11" spans="1:3" x14ac:dyDescent="0.25">
      <c r="A11" t="s">
        <v>8</v>
      </c>
    </row>
    <row r="12" spans="1:3" x14ac:dyDescent="0.25">
      <c r="A12" t="s">
        <v>9</v>
      </c>
    </row>
    <row r="13" spans="1:3" x14ac:dyDescent="0.25">
      <c r="A13" t="s">
        <v>10</v>
      </c>
    </row>
    <row r="14" spans="1:3" x14ac:dyDescent="0.25">
      <c r="A14" t="s">
        <v>11</v>
      </c>
      <c r="B14" t="s">
        <v>14</v>
      </c>
      <c r="C14" t="s">
        <v>13</v>
      </c>
    </row>
    <row r="15" spans="1:3" x14ac:dyDescent="0.25">
      <c r="A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"/>
  <sheetViews>
    <sheetView tabSelected="1" workbookViewId="0">
      <selection activeCell="C9" sqref="C9"/>
    </sheetView>
  </sheetViews>
  <sheetFormatPr defaultRowHeight="15" x14ac:dyDescent="0.25"/>
  <cols>
    <col min="2" max="2" width="17.85546875" bestFit="1" customWidth="1"/>
    <col min="3" max="3" width="31.42578125" bestFit="1" customWidth="1"/>
    <col min="4" max="5" width="14.140625" bestFit="1" customWidth="1"/>
  </cols>
  <sheetData>
    <row r="1" spans="1:5" x14ac:dyDescent="0.25">
      <c r="A1" t="s">
        <v>19</v>
      </c>
      <c r="B1" t="s">
        <v>18</v>
      </c>
      <c r="C1" t="s">
        <v>17</v>
      </c>
      <c r="D1" t="s">
        <v>24</v>
      </c>
      <c r="E1" t="s">
        <v>25</v>
      </c>
    </row>
    <row r="2" spans="1:5" x14ac:dyDescent="0.25">
      <c r="A2" t="s">
        <v>20</v>
      </c>
      <c r="B2" t="s">
        <v>22</v>
      </c>
      <c r="C2" t="s">
        <v>23</v>
      </c>
      <c r="D2">
        <f>'Financial Data'!B2 / 'Financial Data'!B3</f>
        <v>0.77895037079292639</v>
      </c>
    </row>
    <row r="3" spans="1:5" x14ac:dyDescent="0.25">
      <c r="B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Data</vt:lpstr>
      <vt:lpstr>Ratio Analysis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MustafaPC</dc:creator>
  <cp:lastModifiedBy>MustafaPC</cp:lastModifiedBy>
  <dcterms:created xsi:type="dcterms:W3CDTF">2025-11-12T10:03:05Z</dcterms:created>
  <dcterms:modified xsi:type="dcterms:W3CDTF">2025-11-12T10:53:45Z</dcterms:modified>
</cp:coreProperties>
</file>